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ssion A &amp; B" sheetId="1" r:id="rId5"/>
  </sheets>
  <definedNames/>
  <calcPr/>
</workbook>
</file>

<file path=xl/sharedStrings.xml><?xml version="1.0" encoding="utf-8"?>
<sst xmlns="http://schemas.openxmlformats.org/spreadsheetml/2006/main" count="58" uniqueCount="39">
  <si>
    <t>Regime</t>
  </si>
  <si>
    <t>Speed</t>
  </si>
  <si>
    <t>Lift mode</t>
  </si>
  <si>
    <t>Control mode</t>
  </si>
  <si>
    <t>Power multiplier</t>
  </si>
  <si>
    <t>Cruise</t>
  </si>
  <si>
    <t>22 m/s</t>
  </si>
  <si>
    <t>Wing-borne</t>
  </si>
  <si>
    <t>TVCS</t>
  </si>
  <si>
    <t>Low-speed cruise</t>
  </si>
  <si>
    <t>13 m/s</t>
  </si>
  <si>
    <t>Wing + thrust assist</t>
  </si>
  <si>
    <t>1.3–1.8</t>
  </si>
  <si>
    <t>STOL</t>
  </si>
  <si>
    <t>5 m/s</t>
  </si>
  <si>
    <t>Thrust-assisted</t>
  </si>
  <si>
    <t>2.0–3.0</t>
  </si>
  <si>
    <t>Harrier/hover</t>
  </si>
  <si>
    <t>1–2 m/s</t>
  </si>
  <si>
    <t>Thrust-borne</t>
  </si>
  <si>
    <t>3.0–5.0+</t>
  </si>
  <si>
    <t>Event:</t>
  </si>
  <si>
    <t>delta t: [min]</t>
  </si>
  <si>
    <t>delta t: [sec]</t>
  </si>
  <si>
    <t>FLIGHT REGIME:</t>
  </si>
  <si>
    <t>h_0: [m]</t>
  </si>
  <si>
    <t>h_i: [m]</t>
  </si>
  <si>
    <t>hand launch</t>
  </si>
  <si>
    <t>Wait for command</t>
  </si>
  <si>
    <t>Low Speed Cruise</t>
  </si>
  <si>
    <t>FPV flying</t>
  </si>
  <si>
    <t>Crusie</t>
  </si>
  <si>
    <t xml:space="preserve">Hand Recovery </t>
  </si>
  <si>
    <t>Total Flight Time:</t>
  </si>
  <si>
    <t>move to target</t>
  </si>
  <si>
    <t>Static Record</t>
  </si>
  <si>
    <t>HARRIER HOVER</t>
  </si>
  <si>
    <t>Return to Pilot</t>
  </si>
  <si>
    <t xml:space="preserve">Total Flight time: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</si>
</sst>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shrinkToFit="0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Mission A &amp; B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ission A &amp; B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7:F12" displayName="A__FPV_mission" name="A__FPV_mission" id="1">
  <tableColumns count="6">
    <tableColumn name="Event:" id="1"/>
    <tableColumn name="delta t: [min]" id="2"/>
    <tableColumn name="delta t: [sec]" id="3"/>
    <tableColumn name="FLIGHT REGIME:" id="4"/>
    <tableColumn name="h_0: [m]" id="5"/>
    <tableColumn name="h_i: [m]" id="6"/>
  </tableColumns>
  <tableStyleInfo name="Mission A &amp; B-style" showColumnStripes="0" showFirstColumn="1" showLastColumn="1" showRowStripes="1"/>
</table>
</file>

<file path=xl/tables/table2.xml><?xml version="1.0" encoding="utf-8"?>
<table xmlns="http://schemas.openxmlformats.org/spreadsheetml/2006/main" ref="A16:F23" displayName="B__Cinima_Mission" name="B__Cinima_Mission" id="2">
  <tableColumns count="6">
    <tableColumn name="Event:" id="1"/>
    <tableColumn name="delta t: [min]" id="2"/>
    <tableColumn name="delta t: [sec]" id="3"/>
    <tableColumn name="FLIGHT REGIME:" id="4"/>
    <tableColumn name="h_0: [m]" id="5"/>
    <tableColumn name="h_i: [m]" id="6"/>
  </tableColumns>
  <tableStyleInfo name="Mission A &amp; B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3" max="3" width="18.0"/>
    <col customWidth="1" min="5" max="5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5</v>
      </c>
      <c r="B2" s="3" t="s">
        <v>6</v>
      </c>
      <c r="C2" s="3" t="s">
        <v>7</v>
      </c>
      <c r="D2" s="3" t="s">
        <v>8</v>
      </c>
      <c r="E2" s="3">
        <v>1.0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 t="s">
        <v>9</v>
      </c>
      <c r="B3" s="3" t="s">
        <v>10</v>
      </c>
      <c r="C3" s="3" t="s">
        <v>11</v>
      </c>
      <c r="D3" s="3" t="s">
        <v>8</v>
      </c>
      <c r="E3" s="3" t="s">
        <v>12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 t="s">
        <v>13</v>
      </c>
      <c r="B4" s="3" t="s">
        <v>14</v>
      </c>
      <c r="C4" s="3" t="s">
        <v>15</v>
      </c>
      <c r="D4" s="3" t="s">
        <v>8</v>
      </c>
      <c r="E4" s="3" t="s">
        <v>16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3" t="s">
        <v>17</v>
      </c>
      <c r="B5" s="3" t="s">
        <v>18</v>
      </c>
      <c r="C5" s="3" t="s">
        <v>19</v>
      </c>
      <c r="D5" s="3" t="s">
        <v>8</v>
      </c>
      <c r="E5" s="3" t="s">
        <v>20</v>
      </c>
      <c r="F5" s="2"/>
      <c r="G5" s="2"/>
      <c r="H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2"/>
      <c r="B6" s="2"/>
      <c r="C6" s="2"/>
      <c r="D6" s="2"/>
      <c r="E6" s="2"/>
      <c r="F6" s="2"/>
      <c r="G6" s="2"/>
      <c r="H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22.5" customHeight="1">
      <c r="A7" s="4" t="s">
        <v>21</v>
      </c>
      <c r="B7" s="4" t="s">
        <v>22</v>
      </c>
      <c r="C7" s="5" t="s">
        <v>23</v>
      </c>
      <c r="D7" s="4" t="s">
        <v>24</v>
      </c>
      <c r="E7" s="6" t="s">
        <v>25</v>
      </c>
      <c r="F7" s="7" t="s">
        <v>26</v>
      </c>
      <c r="G7" s="2"/>
      <c r="H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22.5" customHeight="1">
      <c r="A8" s="4" t="s">
        <v>27</v>
      </c>
      <c r="B8" s="4">
        <v>3.0</v>
      </c>
      <c r="C8" s="8">
        <f t="shared" ref="C8:C12" si="1">B8 * 60</f>
        <v>180</v>
      </c>
      <c r="D8" s="9" t="s">
        <v>13</v>
      </c>
      <c r="E8" s="4">
        <v>0.0</v>
      </c>
      <c r="F8" s="7">
        <v>20.0</v>
      </c>
      <c r="G8" s="2"/>
      <c r="H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22.5" customHeight="1">
      <c r="A9" s="7" t="s">
        <v>28</v>
      </c>
      <c r="B9" s="7">
        <v>5.0</v>
      </c>
      <c r="C9" s="8">
        <f t="shared" si="1"/>
        <v>300</v>
      </c>
      <c r="D9" s="10" t="s">
        <v>29</v>
      </c>
      <c r="E9" s="7">
        <v>20.0</v>
      </c>
      <c r="F9" s="7">
        <v>20.0</v>
      </c>
      <c r="G9" s="2"/>
      <c r="H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22.5" customHeight="1">
      <c r="A10" s="7" t="s">
        <v>30</v>
      </c>
      <c r="B10" s="7">
        <v>30.0</v>
      </c>
      <c r="C10" s="8">
        <f t="shared" si="1"/>
        <v>1800</v>
      </c>
      <c r="D10" s="10" t="s">
        <v>31</v>
      </c>
      <c r="E10" s="7">
        <v>20.0</v>
      </c>
      <c r="F10" s="7">
        <v>20.0</v>
      </c>
      <c r="G10" s="2"/>
      <c r="H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22.5" customHeight="1">
      <c r="A11" s="11" t="s">
        <v>32</v>
      </c>
      <c r="B11" s="11">
        <v>8.0</v>
      </c>
      <c r="C11" s="12">
        <f t="shared" si="1"/>
        <v>480</v>
      </c>
      <c r="D11" s="13" t="s">
        <v>13</v>
      </c>
      <c r="E11" s="11">
        <v>20.0</v>
      </c>
      <c r="F11" s="11">
        <v>0.0</v>
      </c>
      <c r="G11" s="2"/>
      <c r="H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22.5" customHeight="1">
      <c r="A12" s="7" t="s">
        <v>33</v>
      </c>
      <c r="B12" s="7">
        <f> SUM(B8:B11)</f>
        <v>46</v>
      </c>
      <c r="C12" s="8">
        <f t="shared" si="1"/>
        <v>2760</v>
      </c>
      <c r="D12" s="10"/>
      <c r="E12" s="7"/>
      <c r="F12" s="7"/>
      <c r="G12" s="2"/>
      <c r="H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2"/>
      <c r="B13" s="2"/>
      <c r="C13" s="2"/>
      <c r="D13" s="2"/>
      <c r="E13" s="2"/>
      <c r="F13" s="2"/>
      <c r="G13" s="2"/>
      <c r="H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2"/>
      <c r="B14" s="2"/>
      <c r="C14" s="2"/>
      <c r="D14" s="2"/>
      <c r="E14" s="2"/>
      <c r="F14" s="2"/>
      <c r="G14" s="2"/>
      <c r="H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22.5" customHeight="1">
      <c r="A16" s="4" t="s">
        <v>21</v>
      </c>
      <c r="B16" s="4" t="s">
        <v>22</v>
      </c>
      <c r="C16" s="14" t="s">
        <v>23</v>
      </c>
      <c r="D16" s="4" t="s">
        <v>24</v>
      </c>
      <c r="E16" s="6" t="s">
        <v>25</v>
      </c>
      <c r="F16" s="7" t="s">
        <v>26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22.5" customHeight="1">
      <c r="A17" s="4" t="s">
        <v>27</v>
      </c>
      <c r="B17" s="4">
        <v>3.0</v>
      </c>
      <c r="C17" s="4">
        <f t="shared" ref="C17:C23" si="2">B17 * 60</f>
        <v>180</v>
      </c>
      <c r="D17" s="9" t="s">
        <v>13</v>
      </c>
      <c r="E17" s="4">
        <v>0.0</v>
      </c>
      <c r="F17" s="7">
        <v>20.0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22.5" customHeight="1">
      <c r="A18" s="7" t="s">
        <v>28</v>
      </c>
      <c r="B18" s="7">
        <v>5.0</v>
      </c>
      <c r="C18" s="4">
        <f t="shared" si="2"/>
        <v>300</v>
      </c>
      <c r="D18" s="10" t="s">
        <v>29</v>
      </c>
      <c r="E18" s="7">
        <v>20.0</v>
      </c>
      <c r="F18" s="7">
        <v>20.0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22.5" customHeight="1">
      <c r="A19" s="7" t="s">
        <v>34</v>
      </c>
      <c r="B19" s="7">
        <v>5.0</v>
      </c>
      <c r="C19" s="4">
        <f t="shared" si="2"/>
        <v>300</v>
      </c>
      <c r="D19" s="10" t="s">
        <v>29</v>
      </c>
      <c r="E19" s="7">
        <v>20.0</v>
      </c>
      <c r="F19" s="7">
        <v>10.0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22.5" customHeight="1">
      <c r="A20" s="7" t="s">
        <v>35</v>
      </c>
      <c r="B20" s="7">
        <v>10.0</v>
      </c>
      <c r="C20" s="4">
        <f t="shared" si="2"/>
        <v>600</v>
      </c>
      <c r="D20" s="10" t="s">
        <v>36</v>
      </c>
      <c r="E20" s="7">
        <v>10.0</v>
      </c>
      <c r="F20" s="7">
        <v>30.0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22.5" customHeight="1">
      <c r="A21" s="7" t="s">
        <v>37</v>
      </c>
      <c r="B21" s="7">
        <v>2.0</v>
      </c>
      <c r="C21" s="4">
        <f t="shared" si="2"/>
        <v>120</v>
      </c>
      <c r="D21" s="10" t="s">
        <v>31</v>
      </c>
      <c r="E21" s="7">
        <v>30.0</v>
      </c>
      <c r="F21" s="7">
        <v>20.0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22.5" customHeight="1">
      <c r="A22" s="11" t="s">
        <v>32</v>
      </c>
      <c r="B22" s="11">
        <v>5.0</v>
      </c>
      <c r="C22" s="4">
        <f t="shared" si="2"/>
        <v>300</v>
      </c>
      <c r="D22" s="13" t="s">
        <v>13</v>
      </c>
      <c r="E22" s="11">
        <v>20.0</v>
      </c>
      <c r="F22" s="11">
        <v>0.0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22.5" customHeight="1">
      <c r="A23" s="7" t="s">
        <v>38</v>
      </c>
      <c r="B23" s="7">
        <f>SUM(B17:B22)</f>
        <v>30</v>
      </c>
      <c r="C23" s="15">
        <f t="shared" si="2"/>
        <v>1800</v>
      </c>
      <c r="D23" s="16"/>
      <c r="E23" s="7"/>
      <c r="F23" s="7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17"/>
      <c r="J1002" s="17"/>
      <c r="K1002" s="17"/>
      <c r="L1002" s="17"/>
      <c r="M1002" s="17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17"/>
      <c r="J1003" s="17"/>
      <c r="K1003" s="17"/>
      <c r="L1003" s="17"/>
      <c r="M1003" s="17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</sheetData>
  <dataValidations>
    <dataValidation type="list" allowBlank="1" sqref="D8:D12 D17:D23">
      <formula1>"Crusie,Low Speed Cruise,STOL,HARRIER HOVER"</formula1>
    </dataValidation>
    <dataValidation type="custom" allowBlank="1" showDropDown="1" sqref="C8:C12">
      <formula1>AND(ISNUMBER(C8),(NOT(OR(NOT(ISERROR(DATEVALUE(C8))), AND(ISNUMBER(C8), LEFT(CELL("format", C8))="D")))))</formula1>
    </dataValidation>
  </dataValidations>
  <drawing r:id="rId1"/>
  <tableParts count="2">
    <tablePart r:id="rId4"/>
    <tablePart r:id="rId5"/>
  </tableParts>
</worksheet>
</file>